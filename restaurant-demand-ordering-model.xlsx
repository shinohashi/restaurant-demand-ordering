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mecjp-my.sharepoint.com/personal/sohashi_ismecjp_onmicrosoft_com/Documents/飲食システム/"/>
    </mc:Choice>
  </mc:AlternateContent>
  <xr:revisionPtr revIDLastSave="2" documentId="13_ncr:1_{D693187E-CDE9-754D-BCF3-58B053E079F2}" xr6:coauthVersionLast="47" xr6:coauthVersionMax="47" xr10:uidLastSave="{3F6BF657-C53C-3945-A21D-216001660701}"/>
  <bookViews>
    <workbookView xWindow="17620" yWindow="1340" windowWidth="20780" windowHeight="13220" activeTab="4" xr2:uid="{602C3773-E852-2349-9D09-EED3DCBB5160}"/>
  </bookViews>
  <sheets>
    <sheet name="設定" sheetId="2" r:id="rId1"/>
    <sheet name="商品マスタ" sheetId="3" r:id="rId2"/>
    <sheet name="レシピマスタ" sheetId="4" r:id="rId3"/>
    <sheet name="売上予測" sheetId="5" r:id="rId4"/>
    <sheet name="在庫発注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4" l="1"/>
  <c r="J14" i="4" s="1"/>
  <c r="F14" i="6" s="1"/>
  <c r="I13" i="4"/>
  <c r="J13" i="4" s="1"/>
  <c r="F13" i="6" s="1"/>
  <c r="I12" i="4"/>
  <c r="J12" i="4" s="1"/>
  <c r="I11" i="4"/>
  <c r="J11" i="4" s="1"/>
  <c r="F12" i="6" s="1"/>
  <c r="I10" i="4"/>
  <c r="I9" i="4"/>
  <c r="J9" i="4" s="1"/>
  <c r="F10" i="6" s="1"/>
  <c r="I8" i="4"/>
  <c r="I7" i="4"/>
  <c r="I6" i="4"/>
  <c r="I5" i="4"/>
  <c r="I4" i="4"/>
  <c r="I3" i="4"/>
  <c r="I2" i="4"/>
  <c r="J2" i="4" s="1"/>
  <c r="B4" i="6"/>
  <c r="B3" i="6"/>
  <c r="B2" i="6"/>
  <c r="B14" i="4"/>
  <c r="B13" i="4"/>
  <c r="B12" i="4"/>
  <c r="B11" i="4"/>
  <c r="J10" i="4"/>
  <c r="F11" i="6" s="1"/>
  <c r="B10" i="4"/>
  <c r="B9" i="4"/>
  <c r="J8" i="4"/>
  <c r="F9" i="6" s="1"/>
  <c r="B8" i="4"/>
  <c r="J7" i="4"/>
  <c r="B7" i="4"/>
  <c r="J6" i="4"/>
  <c r="B6" i="4"/>
  <c r="J5" i="4"/>
  <c r="B5" i="4"/>
  <c r="J4" i="4"/>
  <c r="B4" i="4"/>
  <c r="J3" i="4"/>
  <c r="B3" i="4"/>
  <c r="B2" i="4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F6" i="6" l="1"/>
  <c r="G14" i="6"/>
  <c r="H14" i="6" s="1"/>
  <c r="I14" i="6" s="1"/>
  <c r="K14" i="6" s="1"/>
  <c r="L14" i="6" s="1"/>
  <c r="G13" i="6"/>
  <c r="H13" i="6" s="1"/>
  <c r="I13" i="6" s="1"/>
  <c r="K13" i="6" s="1"/>
  <c r="L13" i="6" s="1"/>
  <c r="G12" i="6"/>
  <c r="H12" i="6" s="1"/>
  <c r="I12" i="6" s="1"/>
  <c r="K12" i="6" s="1"/>
  <c r="L12" i="6" s="1"/>
  <c r="G11" i="6"/>
  <c r="H11" i="6" s="1"/>
  <c r="I11" i="6" s="1"/>
  <c r="K11" i="6" s="1"/>
  <c r="L11" i="6" s="1"/>
  <c r="G10" i="6"/>
  <c r="H10" i="6"/>
  <c r="I10" i="6" s="1"/>
  <c r="K10" i="6" s="1"/>
  <c r="L10" i="6" s="1"/>
  <c r="G9" i="6"/>
  <c r="H9" i="6"/>
  <c r="I9" i="6" s="1"/>
  <c r="K9" i="6" s="1"/>
  <c r="L9" i="6" s="1"/>
  <c r="F8" i="6"/>
  <c r="F7" i="6"/>
  <c r="G6" i="6" l="1"/>
  <c r="H6" i="6" s="1"/>
  <c r="I6" i="6" s="1"/>
  <c r="K6" i="6" s="1"/>
  <c r="L6" i="6" s="1"/>
  <c r="G8" i="6"/>
  <c r="H8" i="6" s="1"/>
  <c r="I8" i="6" s="1"/>
  <c r="K8" i="6" s="1"/>
  <c r="L8" i="6" s="1"/>
  <c r="G7" i="6"/>
  <c r="H7" i="6" s="1"/>
  <c r="I7" i="6" s="1"/>
  <c r="K7" i="6" s="1"/>
  <c r="L7" i="6" l="1"/>
</calcChain>
</file>

<file path=xl/sharedStrings.xml><?xml version="1.0" encoding="utf-8"?>
<sst xmlns="http://schemas.openxmlformats.org/spreadsheetml/2006/main" count="191" uniqueCount="98">
  <si>
    <t>項目</t>
  </si>
  <si>
    <t>値</t>
  </si>
  <si>
    <t>店舗名</t>
  </si>
  <si>
    <t>サンプル食堂 新宿店</t>
  </si>
  <si>
    <t>発注対象日</t>
  </si>
  <si>
    <t>納品日</t>
  </si>
  <si>
    <t>安全在庫日数</t>
  </si>
  <si>
    <t>更新日</t>
  </si>
  <si>
    <t>商品コード</t>
  </si>
  <si>
    <t>商品名</t>
  </si>
  <si>
    <t>カテゴリ</t>
  </si>
  <si>
    <t>売価</t>
  </si>
  <si>
    <t>販売単位</t>
  </si>
  <si>
    <t>使用フラグ</t>
  </si>
  <si>
    <t>備考</t>
  </si>
  <si>
    <t>M001</t>
  </si>
  <si>
    <t>牛丼（並）</t>
  </si>
  <si>
    <t>丼物</t>
  </si>
  <si>
    <t>杯</t>
  </si>
  <si>
    <t>M002</t>
  </si>
  <si>
    <t>牛丼（大盛）</t>
  </si>
  <si>
    <t>M003</t>
  </si>
  <si>
    <t>豚汁</t>
  </si>
  <si>
    <t>汁物</t>
  </si>
  <si>
    <t>サイドメニュー</t>
  </si>
  <si>
    <t>M004</t>
  </si>
  <si>
    <t>サラダ</t>
  </si>
  <si>
    <t>サイド</t>
  </si>
  <si>
    <t>皿</t>
  </si>
  <si>
    <t>M005</t>
  </si>
  <si>
    <t>卵かけご飯</t>
  </si>
  <si>
    <t>定食</t>
  </si>
  <si>
    <t>膳</t>
  </si>
  <si>
    <t>※ 使用フラグ: 1=有効, 0=無効</t>
  </si>
  <si>
    <t>日付</t>
  </si>
  <si>
    <t>予測販売数</t>
  </si>
  <si>
    <t>曜日</t>
  </si>
  <si>
    <t>天候</t>
  </si>
  <si>
    <t>イベント</t>
  </si>
  <si>
    <t>晴</t>
  </si>
  <si>
    <t>曇</t>
  </si>
  <si>
    <t>食材コード</t>
  </si>
  <si>
    <t>食材名</t>
  </si>
  <si>
    <t>使用量</t>
  </si>
  <si>
    <t>単位</t>
  </si>
  <si>
    <t>歩留まり係数</t>
  </si>
  <si>
    <t>商品予測販売数</t>
  </si>
  <si>
    <t>食材消費量</t>
  </si>
  <si>
    <t>I001</t>
  </si>
  <si>
    <t>牛肉(びん等)</t>
  </si>
  <si>
    <t>g</t>
  </si>
  <si>
    <t>行返りロス考慮</t>
  </si>
  <si>
    <t>I002</t>
  </si>
  <si>
    <t>白米</t>
  </si>
  <si>
    <t>I003</t>
  </si>
  <si>
    <t>玉ねぎ</t>
  </si>
  <si>
    <t>皮剥きロス考慮</t>
  </si>
  <si>
    <t>I004</t>
  </si>
  <si>
    <t>味噌メッセンジャー</t>
  </si>
  <si>
    <t>ml</t>
  </si>
  <si>
    <t>I005</t>
  </si>
  <si>
    <t>大根</t>
  </si>
  <si>
    <t>I006</t>
  </si>
  <si>
    <t>レタス</t>
  </si>
  <si>
    <t>外葉ロス考慮</t>
  </si>
  <si>
    <t>I007</t>
  </si>
  <si>
    <t>トマト</t>
  </si>
  <si>
    <t>I008</t>
  </si>
  <si>
    <t>卵</t>
  </si>
  <si>
    <t>個</t>
  </si>
  <si>
    <t>I009</t>
  </si>
  <si>
    <t>醤油</t>
  </si>
  <si>
    <t>※ 緑字：売上予測から自動参照　黒字：自動計算　青字：入力値</t>
  </si>
  <si>
    <t>現在庫</t>
  </si>
  <si>
    <t>入荷予定</t>
  </si>
  <si>
    <t>予測消費量</t>
  </si>
  <si>
    <t>安全在庫量</t>
  </si>
  <si>
    <t>必要在庫量</t>
  </si>
  <si>
    <t>発注必要量</t>
  </si>
  <si>
    <t>発注ロット</t>
  </si>
  <si>
    <t>発注量</t>
  </si>
  <si>
    <t>発注要否</t>
  </si>
  <si>
    <t>仕入先</t>
  </si>
  <si>
    <t>フレッシュフード株</t>
  </si>
  <si>
    <t>米山食品商</t>
  </si>
  <si>
    <t>青果毛商店</t>
  </si>
  <si>
    <t>調味料専門店</t>
  </si>
  <si>
    <t>【発注計算の対象日】</t>
  </si>
  <si>
    <t>※ 設定シートで変更してください</t>
  </si>
  <si>
    <t>← この日の売上予測を発注計算に使用</t>
  </si>
  <si>
    <t>（予測消費量 × 安全在庫日数 = 安全在庫量）</t>
  </si>
  <si>
    <t>発注対象日（発注する日）</t>
  </si>
  <si>
    <t>納品日（発注計算基準日）★</t>
  </si>
  <si>
    <t>リードタイム日数（発注→納品）</t>
  </si>
  <si>
    <t>安全在庫日数（0.5=半日分）</t>
  </si>
  <si>
    <t>※ ★の項目（納品日）は発注計算の基準日です。必ず入力してください。青字セルに値を入力してください。</t>
  </si>
  <si>
    <t>既定発注ロット（最小数基準）</t>
  </si>
  <si>
    <t>味噌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</si>
</sst>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"/>
    <numFmt numFmtId="177" formatCode="\¥#,##0"/>
    <numFmt numFmtId="178" formatCode="yyyy/mm/dd\(aaa\)"/>
    <numFmt numFmtId="179" formatCode="0.0&quot;日&quot;"/>
    <numFmt numFmtId="180" formatCode="#,##0.#"/>
    <numFmt numFmtId="181" formatCode="0&quot;日&quot;"/>
    <numFmt numFmtId="182" formatCode="0&quot;個&quot;"/>
  </numFmts>
  <fonts count="1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FFFF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color rgb="FF0000FF"/>
      <name val="Meiryo UI"/>
      <family val="2"/>
      <charset val="128"/>
    </font>
    <font>
      <b/>
      <i/>
      <sz val="9"/>
      <color rgb="FFFF0000"/>
      <name val="Meiryo UI"/>
      <family val="2"/>
      <charset val="128"/>
    </font>
    <font>
      <b/>
      <sz val="10"/>
      <color rgb="FFFFFFFF"/>
      <name val="Meiryo UI"/>
      <family val="2"/>
      <charset val="128"/>
    </font>
    <font>
      <i/>
      <sz val="9"/>
      <color rgb="FFFF0000"/>
      <name val="Meiryo UI"/>
      <family val="2"/>
      <charset val="128"/>
    </font>
    <font>
      <sz val="10"/>
      <color rgb="FF008000"/>
      <name val="Meiryo UI"/>
      <family val="2"/>
      <charset val="128"/>
    </font>
    <font>
      <sz val="10"/>
      <color rgb="FF000000"/>
      <name val="Meiryo UI"/>
      <family val="2"/>
      <charset val="128"/>
    </font>
    <font>
      <b/>
      <sz val="10"/>
      <color rgb="FF000000"/>
      <name val="Meiryo UI"/>
      <family val="2"/>
      <charset val="128"/>
    </font>
    <font>
      <sz val="10"/>
      <color rgb="FF0070C0"/>
      <name val="Meiryo UI"/>
      <family val="2"/>
      <charset val="128"/>
    </font>
    <font>
      <i/>
      <sz val="9"/>
      <color rgb="FF7F7F7F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7" fontId="3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3" fontId="4" fillId="6" borderId="1" xfId="0" applyNumberFormat="1" applyFont="1" applyFill="1" applyBorder="1" applyAlignment="1">
      <alignment horizontal="right" vertical="center"/>
    </xf>
    <xf numFmtId="3" fontId="3" fillId="6" borderId="1" xfId="0" applyNumberFormat="1" applyFont="1" applyFill="1" applyBorder="1" applyAlignment="1">
      <alignment horizontal="right" vertical="center"/>
    </xf>
    <xf numFmtId="0" fontId="0" fillId="6" borderId="0" xfId="0" applyFill="1">
      <alignment vertical="center"/>
    </xf>
    <xf numFmtId="176" fontId="4" fillId="6" borderId="1" xfId="0" applyNumberFormat="1" applyFont="1" applyFill="1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177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4" fillId="7" borderId="1" xfId="0" applyFont="1" applyFill="1" applyBorder="1">
      <alignment vertical="center"/>
    </xf>
    <xf numFmtId="0" fontId="10" fillId="3" borderId="0" xfId="0" applyFont="1" applyFill="1">
      <alignment vertical="center"/>
    </xf>
    <xf numFmtId="178" fontId="11" fillId="7" borderId="0" xfId="0" applyNumberFormat="1" applyFont="1" applyFill="1">
      <alignment vertical="center"/>
    </xf>
    <xf numFmtId="0" fontId="0" fillId="7" borderId="0" xfId="0" applyFill="1">
      <alignment vertical="center"/>
    </xf>
    <xf numFmtId="0" fontId="7" fillId="7" borderId="0" xfId="0" applyFont="1" applyFill="1">
      <alignment vertical="center"/>
    </xf>
    <xf numFmtId="179" fontId="11" fillId="7" borderId="0" xfId="0" applyNumberFormat="1" applyFont="1" applyFill="1">
      <alignment vertical="center"/>
    </xf>
    <xf numFmtId="0" fontId="12" fillId="7" borderId="0" xfId="0" applyFont="1" applyFill="1">
      <alignment vertical="center"/>
    </xf>
    <xf numFmtId="0" fontId="8" fillId="7" borderId="1" xfId="0" applyFont="1" applyFill="1" applyBorder="1" applyAlignment="1">
      <alignment horizontal="right" vertical="center"/>
    </xf>
    <xf numFmtId="180" fontId="8" fillId="0" borderId="1" xfId="0" applyNumberFormat="1" applyFont="1" applyBorder="1" applyAlignment="1">
      <alignment horizontal="right" vertical="center"/>
    </xf>
    <xf numFmtId="180" fontId="3" fillId="0" borderId="1" xfId="0" applyNumberFormat="1" applyFont="1" applyBorder="1" applyAlignment="1">
      <alignment horizontal="right" vertical="center"/>
    </xf>
    <xf numFmtId="180" fontId="8" fillId="6" borderId="1" xfId="0" applyNumberFormat="1" applyFont="1" applyFill="1" applyBorder="1" applyAlignment="1">
      <alignment horizontal="right" vertical="center"/>
    </xf>
    <xf numFmtId="180" fontId="3" fillId="6" borderId="1" xfId="0" applyNumberFormat="1" applyFont="1" applyFill="1" applyBorder="1" applyAlignment="1">
      <alignment horizontal="right" vertical="center"/>
    </xf>
    <xf numFmtId="180" fontId="9" fillId="0" borderId="1" xfId="0" applyNumberFormat="1" applyFont="1" applyBorder="1" applyAlignment="1">
      <alignment horizontal="right" vertical="center"/>
    </xf>
    <xf numFmtId="180" fontId="9" fillId="6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>
      <alignment vertical="center"/>
    </xf>
    <xf numFmtId="0" fontId="10" fillId="6" borderId="1" xfId="0" applyFont="1" applyFill="1" applyBorder="1">
      <alignment vertical="center"/>
    </xf>
    <xf numFmtId="178" fontId="4" fillId="6" borderId="1" xfId="0" applyNumberFormat="1" applyFont="1" applyFill="1" applyBorder="1">
      <alignment vertical="center"/>
    </xf>
    <xf numFmtId="176" fontId="4" fillId="7" borderId="1" xfId="0" applyNumberFormat="1" applyFont="1" applyFill="1" applyBorder="1">
      <alignment vertical="center"/>
    </xf>
    <xf numFmtId="178" fontId="4" fillId="7" borderId="1" xfId="0" applyNumberFormat="1" applyFont="1" applyFill="1" applyBorder="1">
      <alignment vertical="center"/>
    </xf>
    <xf numFmtId="181" fontId="4" fillId="6" borderId="1" xfId="0" applyNumberFormat="1" applyFont="1" applyFill="1" applyBorder="1">
      <alignment vertical="center"/>
    </xf>
    <xf numFmtId="179" fontId="4" fillId="7" borderId="1" xfId="0" applyNumberFormat="1" applyFont="1" applyFill="1" applyBorder="1">
      <alignment vertical="center"/>
    </xf>
    <xf numFmtId="182" fontId="4" fillId="6" borderId="1" xfId="0" applyNumberFormat="1" applyFont="1" applyFill="1" applyBorder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4"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5B65FD-FDA4-3245-913A-62C7620BDAF5}">
  <we:reference id="29673e3c-d826-4f00-92ee-162334a52b1a" version="1.0.0.8" store="EXCatalog" storeType="EXCatalog"/>
  <we:alternateReferences>
    <we:reference id="WA200009404" version="1.0.0.8" store="ja-JP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237D-BD92-6F48-9832-86DA2D81EC50}">
  <sheetPr>
    <tabColor rgb="FF1F497D"/>
  </sheetPr>
  <dimension ref="A1:B10"/>
  <sheetViews>
    <sheetView workbookViewId="0">
      <pane ySplit="1" topLeftCell="A2" activePane="bottomLeft" state="frozen"/>
      <selection pane="bottomLeft" activeCell="A7" sqref="A7"/>
    </sheetView>
  </sheetViews>
  <sheetFormatPr baseColWidth="10" defaultRowHeight="20"/>
  <cols>
    <col min="1" max="1" width="63.85546875" bestFit="1" customWidth="1"/>
    <col min="2" max="2" width="14" bestFit="1" customWidth="1"/>
  </cols>
  <sheetData>
    <row r="1" spans="1:2">
      <c r="A1" s="3" t="s">
        <v>0</v>
      </c>
      <c r="B1" s="3" t="s">
        <v>1</v>
      </c>
    </row>
    <row r="2" spans="1:2">
      <c r="A2" s="41" t="s">
        <v>2</v>
      </c>
      <c r="B2" s="27" t="s">
        <v>3</v>
      </c>
    </row>
    <row r="3" spans="1:2" s="20" customFormat="1">
      <c r="A3" s="42" t="s">
        <v>91</v>
      </c>
      <c r="B3" s="43">
        <v>45726</v>
      </c>
    </row>
    <row r="4" spans="1:2">
      <c r="A4" s="41" t="s">
        <v>92</v>
      </c>
      <c r="B4" s="45">
        <v>45728</v>
      </c>
    </row>
    <row r="5" spans="1:2" s="20" customFormat="1">
      <c r="A5" s="42" t="s">
        <v>93</v>
      </c>
      <c r="B5" s="46">
        <v>2</v>
      </c>
    </row>
    <row r="6" spans="1:2">
      <c r="A6" s="41" t="s">
        <v>94</v>
      </c>
      <c r="B6" s="47">
        <v>0.5</v>
      </c>
    </row>
    <row r="7" spans="1:2" s="20" customFormat="1">
      <c r="A7" s="42" t="s">
        <v>96</v>
      </c>
      <c r="B7" s="48">
        <v>1</v>
      </c>
    </row>
    <row r="8" spans="1:2">
      <c r="A8" s="41" t="s">
        <v>7</v>
      </c>
      <c r="B8" s="44">
        <v>45726</v>
      </c>
    </row>
    <row r="10" spans="1:2">
      <c r="A10" s="1" t="s">
        <v>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1F87-E134-F74B-80CD-C49583F2BB7D}">
  <sheetPr>
    <tabColor rgb="FF17375E"/>
  </sheetPr>
  <dimension ref="A1:G8"/>
  <sheetViews>
    <sheetView workbookViewId="0">
      <pane ySplit="1" topLeftCell="A2" activePane="bottomLeft" state="frozen"/>
      <selection pane="bottomLeft"/>
    </sheetView>
  </sheetViews>
  <sheetFormatPr baseColWidth="10" defaultRowHeight="20"/>
  <sheetData>
    <row r="1" spans="1:7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</row>
    <row r="2" spans="1:7">
      <c r="A2" s="7" t="s">
        <v>15</v>
      </c>
      <c r="B2" s="8" t="s">
        <v>16</v>
      </c>
      <c r="C2" s="7" t="s">
        <v>17</v>
      </c>
      <c r="D2" s="9">
        <v>500</v>
      </c>
      <c r="E2" s="7" t="s">
        <v>18</v>
      </c>
      <c r="F2" s="7">
        <v>1</v>
      </c>
      <c r="G2" s="8"/>
    </row>
    <row r="3" spans="1:7" s="20" customFormat="1">
      <c r="A3" s="16" t="s">
        <v>19</v>
      </c>
      <c r="B3" s="17" t="s">
        <v>20</v>
      </c>
      <c r="C3" s="16" t="s">
        <v>17</v>
      </c>
      <c r="D3" s="24">
        <v>600</v>
      </c>
      <c r="E3" s="16" t="s">
        <v>18</v>
      </c>
      <c r="F3" s="16">
        <v>1</v>
      </c>
      <c r="G3" s="17"/>
    </row>
    <row r="4" spans="1:7">
      <c r="A4" s="7" t="s">
        <v>21</v>
      </c>
      <c r="B4" s="8" t="s">
        <v>22</v>
      </c>
      <c r="C4" s="7" t="s">
        <v>23</v>
      </c>
      <c r="D4" s="9">
        <v>200</v>
      </c>
      <c r="E4" s="7" t="s">
        <v>18</v>
      </c>
      <c r="F4" s="7">
        <v>1</v>
      </c>
      <c r="G4" s="7" t="s">
        <v>24</v>
      </c>
    </row>
    <row r="5" spans="1:7" s="20" customFormat="1">
      <c r="A5" s="16" t="s">
        <v>25</v>
      </c>
      <c r="B5" s="17" t="s">
        <v>26</v>
      </c>
      <c r="C5" s="16" t="s">
        <v>27</v>
      </c>
      <c r="D5" s="24">
        <v>150</v>
      </c>
      <c r="E5" s="16" t="s">
        <v>28</v>
      </c>
      <c r="F5" s="16">
        <v>1</v>
      </c>
      <c r="G5" s="17"/>
    </row>
    <row r="6" spans="1:7">
      <c r="A6" s="7" t="s">
        <v>29</v>
      </c>
      <c r="B6" s="8" t="s">
        <v>30</v>
      </c>
      <c r="C6" s="7" t="s">
        <v>31</v>
      </c>
      <c r="D6" s="9">
        <v>300</v>
      </c>
      <c r="E6" s="7" t="s">
        <v>32</v>
      </c>
      <c r="F6" s="7">
        <v>1</v>
      </c>
      <c r="G6" s="8"/>
    </row>
    <row r="7" spans="1:7" s="20" customFormat="1"/>
    <row r="8" spans="1:7">
      <c r="A8" s="2" t="s">
        <v>33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58D8-3EC7-1B42-BC17-640CA09F8088}">
  <sheetPr>
    <tabColor rgb="FF375623"/>
  </sheetPr>
  <dimension ref="A1:J16"/>
  <sheetViews>
    <sheetView workbookViewId="0">
      <pane ySplit="1" topLeftCell="A2" activePane="bottomLeft" state="frozen"/>
      <selection pane="bottomLeft" activeCell="D8" sqref="D8"/>
    </sheetView>
  </sheetViews>
  <sheetFormatPr baseColWidth="10" defaultRowHeight="20"/>
  <sheetData>
    <row r="1" spans="1:10">
      <c r="A1" s="6" t="s">
        <v>8</v>
      </c>
      <c r="B1" s="6" t="s">
        <v>9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14</v>
      </c>
      <c r="I1" s="10" t="s">
        <v>46</v>
      </c>
      <c r="J1" s="10" t="s">
        <v>47</v>
      </c>
    </row>
    <row r="2" spans="1:10">
      <c r="A2" s="7" t="s">
        <v>15</v>
      </c>
      <c r="B2" s="8" t="str">
        <f>IFERROR(VLOOKUP(A2,商品マスタ!$A:$B,2,0),"")</f>
        <v>牛丼（並）</v>
      </c>
      <c r="C2" s="7" t="s">
        <v>48</v>
      </c>
      <c r="D2" s="8" t="s">
        <v>49</v>
      </c>
      <c r="E2" s="11">
        <v>120</v>
      </c>
      <c r="F2" s="7" t="s">
        <v>50</v>
      </c>
      <c r="G2" s="12">
        <v>1.1000000000000001</v>
      </c>
      <c r="H2" s="8" t="s">
        <v>51</v>
      </c>
      <c r="I2" s="34">
        <f>IFERROR(SUMIFS(売上予測!$D:$D,売上予測!$A:$A,設定!$B$4,売上予測!$B:$B,A2),0)</f>
        <v>30</v>
      </c>
      <c r="J2" s="39">
        <f t="shared" ref="J2:J14" si="0">E2*G2*I2</f>
        <v>3960</v>
      </c>
    </row>
    <row r="3" spans="1:10" s="20" customFormat="1">
      <c r="A3" s="16" t="s">
        <v>15</v>
      </c>
      <c r="B3" s="17" t="str">
        <f>IFERROR(VLOOKUP(A3,商品マスタ!$A:$B,2,0),"")</f>
        <v>牛丼（並）</v>
      </c>
      <c r="C3" s="16" t="s">
        <v>52</v>
      </c>
      <c r="D3" s="17" t="s">
        <v>53</v>
      </c>
      <c r="E3" s="25">
        <v>300</v>
      </c>
      <c r="F3" s="16" t="s">
        <v>50</v>
      </c>
      <c r="G3" s="22">
        <v>1</v>
      </c>
      <c r="H3" s="17"/>
      <c r="I3" s="26">
        <f>IFERROR(SUMIFS(売上予測!$D:$D,売上予測!$A:$A,設定!$B$4,売上予測!$B:$B,A3),0)</f>
        <v>30</v>
      </c>
      <c r="J3" s="40">
        <f t="shared" si="0"/>
        <v>9000</v>
      </c>
    </row>
    <row r="4" spans="1:10">
      <c r="A4" s="7" t="s">
        <v>15</v>
      </c>
      <c r="B4" s="8" t="str">
        <f>IFERROR(VLOOKUP(A4,商品マスタ!$A:$B,2,0),"")</f>
        <v>牛丼（並）</v>
      </c>
      <c r="C4" s="7" t="s">
        <v>54</v>
      </c>
      <c r="D4" s="8" t="s">
        <v>55</v>
      </c>
      <c r="E4" s="11">
        <v>50</v>
      </c>
      <c r="F4" s="7" t="s">
        <v>50</v>
      </c>
      <c r="G4" s="12">
        <v>1.1499999999999999</v>
      </c>
      <c r="H4" s="8" t="s">
        <v>56</v>
      </c>
      <c r="I4" s="34">
        <f>IFERROR(SUMIFS(売上予測!$D:$D,売上予測!$A:$A,設定!$B$4,売上予測!$B:$B,A4),0)</f>
        <v>30</v>
      </c>
      <c r="J4" s="39">
        <f t="shared" si="0"/>
        <v>1724.9999999999998</v>
      </c>
    </row>
    <row r="5" spans="1:10" s="20" customFormat="1">
      <c r="A5" s="16" t="s">
        <v>19</v>
      </c>
      <c r="B5" s="17" t="str">
        <f>IFERROR(VLOOKUP(A5,商品マスタ!$A:$B,2,0),"")</f>
        <v>牛丼（大盛）</v>
      </c>
      <c r="C5" s="16" t="s">
        <v>48</v>
      </c>
      <c r="D5" s="17" t="s">
        <v>49</v>
      </c>
      <c r="E5" s="25">
        <v>180</v>
      </c>
      <c r="F5" s="16" t="s">
        <v>50</v>
      </c>
      <c r="G5" s="22">
        <v>1.1000000000000001</v>
      </c>
      <c r="H5" s="17"/>
      <c r="I5" s="26">
        <f>IFERROR(SUMIFS(売上予測!$D:$D,売上予測!$A:$A,設定!$B$4,売上予測!$B:$B,A5),0)</f>
        <v>15</v>
      </c>
      <c r="J5" s="40">
        <f t="shared" si="0"/>
        <v>2970.0000000000005</v>
      </c>
    </row>
    <row r="6" spans="1:10">
      <c r="A6" s="7" t="s">
        <v>19</v>
      </c>
      <c r="B6" s="8" t="str">
        <f>IFERROR(VLOOKUP(A6,商品マスタ!$A:$B,2,0),"")</f>
        <v>牛丼（大盛）</v>
      </c>
      <c r="C6" s="7" t="s">
        <v>52</v>
      </c>
      <c r="D6" s="8" t="s">
        <v>53</v>
      </c>
      <c r="E6" s="11">
        <v>400</v>
      </c>
      <c r="F6" s="7" t="s">
        <v>50</v>
      </c>
      <c r="G6" s="12">
        <v>1</v>
      </c>
      <c r="H6" s="8"/>
      <c r="I6" s="34">
        <f>IFERROR(SUMIFS(売上予測!$D:$D,売上予測!$A:$A,設定!$B$4,売上予測!$B:$B,A6),0)</f>
        <v>15</v>
      </c>
      <c r="J6" s="39">
        <f t="shared" si="0"/>
        <v>6000</v>
      </c>
    </row>
    <row r="7" spans="1:10" s="20" customFormat="1">
      <c r="A7" s="16" t="s">
        <v>19</v>
      </c>
      <c r="B7" s="17" t="str">
        <f>IFERROR(VLOOKUP(A7,商品マスタ!$A:$B,2,0),"")</f>
        <v>牛丼（大盛）</v>
      </c>
      <c r="C7" s="16" t="s">
        <v>54</v>
      </c>
      <c r="D7" s="17" t="s">
        <v>55</v>
      </c>
      <c r="E7" s="25">
        <v>60</v>
      </c>
      <c r="F7" s="16" t="s">
        <v>50</v>
      </c>
      <c r="G7" s="22">
        <v>1.1499999999999999</v>
      </c>
      <c r="H7" s="17"/>
      <c r="I7" s="26">
        <f>IFERROR(SUMIFS(売上予測!$D:$D,売上予測!$A:$A,設定!$B$4,売上予測!$B:$B,A7),0)</f>
        <v>15</v>
      </c>
      <c r="J7" s="40">
        <f t="shared" si="0"/>
        <v>1035</v>
      </c>
    </row>
    <row r="8" spans="1:10">
      <c r="A8" s="7" t="s">
        <v>21</v>
      </c>
      <c r="B8" s="8" t="str">
        <f>IFERROR(VLOOKUP(A8,商品マスタ!$A:$B,2,0),"")</f>
        <v>豚汁</v>
      </c>
      <c r="C8" s="7" t="s">
        <v>57</v>
      </c>
      <c r="D8" s="8" t="s">
        <v>97</v>
      </c>
      <c r="E8" s="11">
        <v>200</v>
      </c>
      <c r="F8" s="7" t="s">
        <v>59</v>
      </c>
      <c r="G8" s="12">
        <v>1</v>
      </c>
      <c r="H8" s="8"/>
      <c r="I8" s="34">
        <f>IFERROR(SUMIFS(売上予測!$D:$D,売上予測!$A:$A,設定!$B$4,売上予測!$B:$B,A8),0)</f>
        <v>40</v>
      </c>
      <c r="J8" s="39">
        <f t="shared" si="0"/>
        <v>8000</v>
      </c>
    </row>
    <row r="9" spans="1:10" s="20" customFormat="1">
      <c r="A9" s="16" t="s">
        <v>21</v>
      </c>
      <c r="B9" s="17" t="str">
        <f>IFERROR(VLOOKUP(A9,商品マスタ!$A:$B,2,0),"")</f>
        <v>豚汁</v>
      </c>
      <c r="C9" s="16" t="s">
        <v>60</v>
      </c>
      <c r="D9" s="17" t="s">
        <v>61</v>
      </c>
      <c r="E9" s="25">
        <v>60</v>
      </c>
      <c r="F9" s="16" t="s">
        <v>50</v>
      </c>
      <c r="G9" s="22">
        <v>1.1000000000000001</v>
      </c>
      <c r="H9" s="17"/>
      <c r="I9" s="26">
        <f>IFERROR(SUMIFS(売上予測!$D:$D,売上予測!$A:$A,設定!$B$4,売上予測!$B:$B,A9),0)</f>
        <v>40</v>
      </c>
      <c r="J9" s="40">
        <f t="shared" si="0"/>
        <v>2640</v>
      </c>
    </row>
    <row r="10" spans="1:10">
      <c r="A10" s="7" t="s">
        <v>25</v>
      </c>
      <c r="B10" s="8" t="str">
        <f>IFERROR(VLOOKUP(A10,商品マスタ!$A:$B,2,0),"")</f>
        <v>サラダ</v>
      </c>
      <c r="C10" s="7" t="s">
        <v>62</v>
      </c>
      <c r="D10" s="8" t="s">
        <v>63</v>
      </c>
      <c r="E10" s="11">
        <v>80</v>
      </c>
      <c r="F10" s="7" t="s">
        <v>50</v>
      </c>
      <c r="G10" s="12">
        <v>1.05</v>
      </c>
      <c r="H10" s="8" t="s">
        <v>64</v>
      </c>
      <c r="I10" s="34">
        <f>IFERROR(SUMIFS(売上予測!$D:$D,売上予測!$A:$A,設定!$B$4,売上予測!$B:$B,A10),0)</f>
        <v>20</v>
      </c>
      <c r="J10" s="39">
        <f t="shared" si="0"/>
        <v>1680</v>
      </c>
    </row>
    <row r="11" spans="1:10" s="20" customFormat="1">
      <c r="A11" s="16" t="s">
        <v>25</v>
      </c>
      <c r="B11" s="17" t="str">
        <f>IFERROR(VLOOKUP(A11,商品マスタ!$A:$B,2,0),"")</f>
        <v>サラダ</v>
      </c>
      <c r="C11" s="16" t="s">
        <v>65</v>
      </c>
      <c r="D11" s="17" t="s">
        <v>66</v>
      </c>
      <c r="E11" s="25">
        <v>40</v>
      </c>
      <c r="F11" s="16" t="s">
        <v>50</v>
      </c>
      <c r="G11" s="22">
        <v>1.05</v>
      </c>
      <c r="H11" s="17"/>
      <c r="I11" s="26">
        <f>IFERROR(SUMIFS(売上予測!$D:$D,売上予測!$A:$A,設定!$B$4,売上予測!$B:$B,A11),0)</f>
        <v>20</v>
      </c>
      <c r="J11" s="40">
        <f t="shared" si="0"/>
        <v>840</v>
      </c>
    </row>
    <row r="12" spans="1:10">
      <c r="A12" s="7" t="s">
        <v>29</v>
      </c>
      <c r="B12" s="8" t="str">
        <f>IFERROR(VLOOKUP(A12,商品マスタ!$A:$B,2,0),"")</f>
        <v>卵かけご飯</v>
      </c>
      <c r="C12" s="7" t="s">
        <v>52</v>
      </c>
      <c r="D12" s="8" t="s">
        <v>53</v>
      </c>
      <c r="E12" s="11">
        <v>200</v>
      </c>
      <c r="F12" s="7" t="s">
        <v>50</v>
      </c>
      <c r="G12" s="12">
        <v>1</v>
      </c>
      <c r="H12" s="8"/>
      <c r="I12" s="34">
        <f>IFERROR(SUMIFS(売上予測!$D:$D,売上予測!$A:$A,設定!$B$4,売上予測!$B:$B,A12),0)</f>
        <v>25</v>
      </c>
      <c r="J12" s="39">
        <f t="shared" si="0"/>
        <v>5000</v>
      </c>
    </row>
    <row r="13" spans="1:10" s="20" customFormat="1">
      <c r="A13" s="16" t="s">
        <v>29</v>
      </c>
      <c r="B13" s="17" t="str">
        <f>IFERROR(VLOOKUP(A13,商品マスタ!$A:$B,2,0),"")</f>
        <v>卵かけご飯</v>
      </c>
      <c r="C13" s="16" t="s">
        <v>67</v>
      </c>
      <c r="D13" s="17" t="s">
        <v>68</v>
      </c>
      <c r="E13" s="25">
        <v>1</v>
      </c>
      <c r="F13" s="16" t="s">
        <v>69</v>
      </c>
      <c r="G13" s="22">
        <v>1</v>
      </c>
      <c r="H13" s="17"/>
      <c r="I13" s="26">
        <f>IFERROR(SUMIFS(売上予測!$D:$D,売上予測!$A:$A,設定!$B$4,売上予測!$B:$B,A13),0)</f>
        <v>25</v>
      </c>
      <c r="J13" s="40">
        <f t="shared" si="0"/>
        <v>25</v>
      </c>
    </row>
    <row r="14" spans="1:10">
      <c r="A14" s="7" t="s">
        <v>29</v>
      </c>
      <c r="B14" s="8" t="str">
        <f>IFERROR(VLOOKUP(A14,商品マスタ!$A:$B,2,0),"")</f>
        <v>卵かけご飯</v>
      </c>
      <c r="C14" s="7" t="s">
        <v>70</v>
      </c>
      <c r="D14" s="8" t="s">
        <v>71</v>
      </c>
      <c r="E14" s="11">
        <v>5</v>
      </c>
      <c r="F14" s="7" t="s">
        <v>59</v>
      </c>
      <c r="G14" s="12">
        <v>1</v>
      </c>
      <c r="H14" s="8"/>
      <c r="I14" s="34">
        <f>IFERROR(SUMIFS(売上予測!$D:$D,売上予測!$A:$A,設定!$B$4,売上予測!$B:$B,A14),0)</f>
        <v>25</v>
      </c>
      <c r="J14" s="39">
        <f t="shared" si="0"/>
        <v>125</v>
      </c>
    </row>
    <row r="16" spans="1:10">
      <c r="A16" s="2" t="s">
        <v>72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B004-F470-234B-BBE9-D6993258E35E}">
  <sheetPr>
    <tabColor rgb="FF7F6000"/>
  </sheetPr>
  <dimension ref="A1:H11"/>
  <sheetViews>
    <sheetView workbookViewId="0">
      <pane ySplit="1" topLeftCell="A2" activePane="bottomLeft" state="frozen"/>
      <selection pane="bottomLeft" activeCell="F12" sqref="F12"/>
    </sheetView>
  </sheetViews>
  <sheetFormatPr baseColWidth="10" defaultRowHeight="20"/>
  <sheetData>
    <row r="1" spans="1:8">
      <c r="A1" s="6" t="s">
        <v>34</v>
      </c>
      <c r="B1" s="6" t="s">
        <v>8</v>
      </c>
      <c r="C1" s="6" t="s">
        <v>9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14</v>
      </c>
    </row>
    <row r="2" spans="1:8">
      <c r="A2" s="5">
        <v>45728</v>
      </c>
      <c r="B2" s="12" t="s">
        <v>15</v>
      </c>
      <c r="C2" s="8" t="str">
        <f>IFERROR(VLOOKUP(B2,商品マスタ!$A:$B,2,0),"")</f>
        <v>牛丼（並）</v>
      </c>
      <c r="D2" s="12">
        <v>30</v>
      </c>
      <c r="E2" s="7" t="str">
        <f t="shared" ref="E2:E11" si="0">TEXT(A2,"aaa")</f>
        <v>水</v>
      </c>
      <c r="F2" s="12" t="s">
        <v>39</v>
      </c>
      <c r="G2" s="4"/>
      <c r="H2" s="4"/>
    </row>
    <row r="3" spans="1:8" s="20" customFormat="1">
      <c r="A3" s="21">
        <v>45728</v>
      </c>
      <c r="B3" s="22" t="s">
        <v>19</v>
      </c>
      <c r="C3" s="17" t="str">
        <f>IFERROR(VLOOKUP(B3,商品マスタ!$A:$B,2,0),"")</f>
        <v>牛丼（大盛）</v>
      </c>
      <c r="D3" s="22">
        <v>15</v>
      </c>
      <c r="E3" s="16" t="str">
        <f t="shared" si="0"/>
        <v>水</v>
      </c>
      <c r="F3" s="22" t="s">
        <v>39</v>
      </c>
      <c r="G3" s="23"/>
      <c r="H3" s="23"/>
    </row>
    <row r="4" spans="1:8">
      <c r="A4" s="5">
        <v>45728</v>
      </c>
      <c r="B4" s="12" t="s">
        <v>21</v>
      </c>
      <c r="C4" s="8" t="str">
        <f>IFERROR(VLOOKUP(B4,商品マスタ!$A:$B,2,0),"")</f>
        <v>豚汁</v>
      </c>
      <c r="D4" s="12">
        <v>40</v>
      </c>
      <c r="E4" s="7" t="str">
        <f t="shared" si="0"/>
        <v>水</v>
      </c>
      <c r="F4" s="12" t="s">
        <v>39</v>
      </c>
      <c r="G4" s="4"/>
      <c r="H4" s="4"/>
    </row>
    <row r="5" spans="1:8" s="20" customFormat="1">
      <c r="A5" s="21">
        <v>45728</v>
      </c>
      <c r="B5" s="22" t="s">
        <v>25</v>
      </c>
      <c r="C5" s="17" t="str">
        <f>IFERROR(VLOOKUP(B5,商品マスタ!$A:$B,2,0),"")</f>
        <v>サラダ</v>
      </c>
      <c r="D5" s="22">
        <v>20</v>
      </c>
      <c r="E5" s="16" t="str">
        <f t="shared" si="0"/>
        <v>水</v>
      </c>
      <c r="F5" s="22" t="s">
        <v>39</v>
      </c>
      <c r="G5" s="23"/>
      <c r="H5" s="23"/>
    </row>
    <row r="6" spans="1:8">
      <c r="A6" s="5">
        <v>45728</v>
      </c>
      <c r="B6" s="12" t="s">
        <v>29</v>
      </c>
      <c r="C6" s="8" t="str">
        <f>IFERROR(VLOOKUP(B6,商品マスタ!$A:$B,2,0),"")</f>
        <v>卵かけご飯</v>
      </c>
      <c r="D6" s="12">
        <v>25</v>
      </c>
      <c r="E6" s="7" t="str">
        <f t="shared" si="0"/>
        <v>水</v>
      </c>
      <c r="F6" s="12" t="s">
        <v>39</v>
      </c>
      <c r="G6" s="4"/>
      <c r="H6" s="4"/>
    </row>
    <row r="7" spans="1:8" s="20" customFormat="1">
      <c r="A7" s="21">
        <v>45729</v>
      </c>
      <c r="B7" s="22" t="s">
        <v>15</v>
      </c>
      <c r="C7" s="17" t="str">
        <f>IFERROR(VLOOKUP(B7,商品マスタ!$A:$B,2,0),"")</f>
        <v>牛丼（並）</v>
      </c>
      <c r="D7" s="22">
        <v>35</v>
      </c>
      <c r="E7" s="16" t="str">
        <f t="shared" si="0"/>
        <v>木</v>
      </c>
      <c r="F7" s="22" t="s">
        <v>40</v>
      </c>
      <c r="G7" s="23"/>
      <c r="H7" s="23"/>
    </row>
    <row r="8" spans="1:8">
      <c r="A8" s="5">
        <v>45729</v>
      </c>
      <c r="B8" s="12" t="s">
        <v>19</v>
      </c>
      <c r="C8" s="8" t="str">
        <f>IFERROR(VLOOKUP(B8,商品マスタ!$A:$B,2,0),"")</f>
        <v>牛丼（大盛）</v>
      </c>
      <c r="D8" s="12">
        <v>20</v>
      </c>
      <c r="E8" s="7" t="str">
        <f t="shared" si="0"/>
        <v>木</v>
      </c>
      <c r="F8" s="12" t="s">
        <v>40</v>
      </c>
      <c r="G8" s="4"/>
      <c r="H8" s="4"/>
    </row>
    <row r="9" spans="1:8" s="20" customFormat="1">
      <c r="A9" s="21">
        <v>45729</v>
      </c>
      <c r="B9" s="22" t="s">
        <v>21</v>
      </c>
      <c r="C9" s="17" t="str">
        <f>IFERROR(VLOOKUP(B9,商品マスタ!$A:$B,2,0),"")</f>
        <v>豚汁</v>
      </c>
      <c r="D9" s="22">
        <v>50</v>
      </c>
      <c r="E9" s="16" t="str">
        <f t="shared" si="0"/>
        <v>木</v>
      </c>
      <c r="F9" s="22" t="s">
        <v>40</v>
      </c>
      <c r="G9" s="23"/>
      <c r="H9" s="23"/>
    </row>
    <row r="10" spans="1:8">
      <c r="A10" s="5">
        <v>45729</v>
      </c>
      <c r="B10" s="12" t="s">
        <v>25</v>
      </c>
      <c r="C10" s="8" t="str">
        <f>IFERROR(VLOOKUP(B10,商品マスタ!$A:$B,2,0),"")</f>
        <v>サラダ</v>
      </c>
      <c r="D10" s="12">
        <v>25</v>
      </c>
      <c r="E10" s="7" t="str">
        <f t="shared" si="0"/>
        <v>木</v>
      </c>
      <c r="F10" s="12" t="s">
        <v>40</v>
      </c>
      <c r="G10" s="4"/>
      <c r="H10" s="4"/>
    </row>
    <row r="11" spans="1:8" s="20" customFormat="1">
      <c r="A11" s="21">
        <v>45729</v>
      </c>
      <c r="B11" s="22" t="s">
        <v>29</v>
      </c>
      <c r="C11" s="17" t="str">
        <f>IFERROR(VLOOKUP(B11,商品マスタ!$A:$B,2,0),"")</f>
        <v>卵かけご飯</v>
      </c>
      <c r="D11" s="22">
        <v>30</v>
      </c>
      <c r="E11" s="16" t="str">
        <f t="shared" si="0"/>
        <v>木</v>
      </c>
      <c r="F11" s="22" t="s">
        <v>40</v>
      </c>
      <c r="G11" s="23"/>
      <c r="H11" s="23"/>
    </row>
  </sheetData>
  <phoneticPr fontId="1"/>
  <dataValidations count="1">
    <dataValidation type="list" errorStyle="warning" allowBlank="1" showInputMessage="1" showErrorMessage="1" errorTitle="入力エラー" error="商品マスタに存在するコードを入力してください" promptTitle="商品コード" prompt="商品マスタに登録されているコードを選択してください" sqref="B2:B50" xr:uid="{AFF33210-3E12-3846-BEF8-7FFB7BC95A18}">
      <formula1>"商品マスタ!$A$2:$A$6"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300C-CB05-CF48-8CA4-6B6755785EF1}">
  <sheetPr>
    <tabColor rgb="FFC00000"/>
  </sheetPr>
  <dimension ref="A1:N14"/>
  <sheetViews>
    <sheetView tabSelected="1" workbookViewId="0">
      <pane ySplit="5" topLeftCell="A7" activePane="bottomLeft" state="frozen"/>
      <selection pane="bottomLeft" activeCell="B16" sqref="B16"/>
    </sheetView>
  </sheetViews>
  <sheetFormatPr baseColWidth="10" defaultRowHeight="20"/>
  <cols>
    <col min="2" max="2" width="12.7109375" bestFit="1" customWidth="1"/>
  </cols>
  <sheetData>
    <row r="1" spans="1:14">
      <c r="A1" s="49" t="s">
        <v>87</v>
      </c>
      <c r="B1" s="49"/>
      <c r="C1" s="49"/>
      <c r="D1" s="49"/>
      <c r="E1" s="49"/>
      <c r="F1" s="49"/>
      <c r="G1" s="30"/>
      <c r="H1" s="30"/>
      <c r="I1" s="30"/>
      <c r="J1" s="30"/>
      <c r="K1" s="30"/>
      <c r="L1" s="30"/>
      <c r="M1" s="30"/>
      <c r="N1" s="30"/>
    </row>
    <row r="2" spans="1:14">
      <c r="A2" s="28" t="s">
        <v>4</v>
      </c>
      <c r="B2" s="29">
        <f>設定!B3</f>
        <v>45726</v>
      </c>
      <c r="C2" s="30"/>
      <c r="D2" s="31" t="s">
        <v>88</v>
      </c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>
      <c r="A3" s="28" t="s">
        <v>5</v>
      </c>
      <c r="B3" s="29">
        <f>設定!B4</f>
        <v>45728</v>
      </c>
      <c r="C3" s="30"/>
      <c r="D3" s="31" t="s">
        <v>89</v>
      </c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>
      <c r="A4" s="28" t="s">
        <v>6</v>
      </c>
      <c r="B4" s="32">
        <f>設定!B6</f>
        <v>0.5</v>
      </c>
      <c r="C4" s="30"/>
      <c r="D4" s="33" t="s">
        <v>90</v>
      </c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1:14">
      <c r="A5" s="6" t="s">
        <v>41</v>
      </c>
      <c r="B5" s="6" t="s">
        <v>42</v>
      </c>
      <c r="C5" s="6" t="s">
        <v>44</v>
      </c>
      <c r="D5" s="6" t="s">
        <v>73</v>
      </c>
      <c r="E5" s="6" t="s">
        <v>74</v>
      </c>
      <c r="F5" s="10" t="s">
        <v>75</v>
      </c>
      <c r="G5" s="10" t="s">
        <v>76</v>
      </c>
      <c r="H5" s="10" t="s">
        <v>77</v>
      </c>
      <c r="I5" s="10" t="s">
        <v>78</v>
      </c>
      <c r="J5" s="6" t="s">
        <v>79</v>
      </c>
      <c r="K5" s="13" t="s">
        <v>80</v>
      </c>
      <c r="L5" s="13" t="s">
        <v>81</v>
      </c>
      <c r="M5" s="6" t="s">
        <v>82</v>
      </c>
      <c r="N5" s="6" t="s">
        <v>14</v>
      </c>
    </row>
    <row r="6" spans="1:14">
      <c r="A6" s="7" t="s">
        <v>48</v>
      </c>
      <c r="B6" s="8" t="s">
        <v>49</v>
      </c>
      <c r="C6" s="7" t="s">
        <v>50</v>
      </c>
      <c r="D6" s="14">
        <v>5000</v>
      </c>
      <c r="E6" s="14">
        <v>0</v>
      </c>
      <c r="F6" s="35">
        <f>IFERROR(SUMIF(レシピマスタ!$C:$C,A6,レシピマスタ!$J:$J),0)</f>
        <v>6930</v>
      </c>
      <c r="G6" s="36">
        <f>F6*設定!$B$6</f>
        <v>3465</v>
      </c>
      <c r="H6" s="36">
        <f t="shared" ref="H6:H14" si="0">F6+G6</f>
        <v>10395</v>
      </c>
      <c r="I6" s="36">
        <f t="shared" ref="I6:I14" si="1">MAX(0,H6-D6-E6)</f>
        <v>5395</v>
      </c>
      <c r="J6" s="14">
        <v>500</v>
      </c>
      <c r="K6" s="15">
        <f t="shared" ref="K6:K14" si="2">IF(I6=0,0,CEILING(I6,J6))</f>
        <v>5500</v>
      </c>
      <c r="L6" s="7" t="str">
        <f t="shared" ref="L6:L14" si="3">IF(K6&gt;0,"発注","不要")</f>
        <v>発注</v>
      </c>
      <c r="M6" s="8" t="s">
        <v>83</v>
      </c>
      <c r="N6" s="8"/>
    </row>
    <row r="7" spans="1:14" s="20" customFormat="1">
      <c r="A7" s="16" t="s">
        <v>52</v>
      </c>
      <c r="B7" s="17" t="s">
        <v>53</v>
      </c>
      <c r="C7" s="16" t="s">
        <v>50</v>
      </c>
      <c r="D7" s="18">
        <v>20000</v>
      </c>
      <c r="E7" s="18">
        <v>10000</v>
      </c>
      <c r="F7" s="37">
        <f>IFERROR(SUMIF(レシピマスタ!$C:$C,A7,レシピマスタ!$J:$J),0)</f>
        <v>20000</v>
      </c>
      <c r="G7" s="38">
        <f>F7*設定!$B$6</f>
        <v>10000</v>
      </c>
      <c r="H7" s="38">
        <f t="shared" si="0"/>
        <v>30000</v>
      </c>
      <c r="I7" s="38">
        <f t="shared" si="1"/>
        <v>0</v>
      </c>
      <c r="J7" s="18">
        <v>5000</v>
      </c>
      <c r="K7" s="19">
        <f t="shared" si="2"/>
        <v>0</v>
      </c>
      <c r="L7" s="16" t="str">
        <f t="shared" si="3"/>
        <v>不要</v>
      </c>
      <c r="M7" s="17" t="s">
        <v>84</v>
      </c>
      <c r="N7" s="17"/>
    </row>
    <row r="8" spans="1:14">
      <c r="A8" s="7" t="s">
        <v>54</v>
      </c>
      <c r="B8" s="8" t="s">
        <v>55</v>
      </c>
      <c r="C8" s="7" t="s">
        <v>50</v>
      </c>
      <c r="D8" s="14">
        <v>3000</v>
      </c>
      <c r="E8" s="14">
        <v>0</v>
      </c>
      <c r="F8" s="35">
        <f>IFERROR(SUMIF(レシピマスタ!$C:$C,A8,レシピマスタ!$J:$J),0)</f>
        <v>2760</v>
      </c>
      <c r="G8" s="36">
        <f>F8*設定!$B$6</f>
        <v>1380</v>
      </c>
      <c r="H8" s="36">
        <f t="shared" si="0"/>
        <v>4140</v>
      </c>
      <c r="I8" s="36">
        <f t="shared" si="1"/>
        <v>1140</v>
      </c>
      <c r="J8" s="14">
        <v>500</v>
      </c>
      <c r="K8" s="15">
        <f t="shared" si="2"/>
        <v>1500</v>
      </c>
      <c r="L8" s="7" t="str">
        <f t="shared" si="3"/>
        <v>発注</v>
      </c>
      <c r="M8" s="8" t="s">
        <v>83</v>
      </c>
      <c r="N8" s="8"/>
    </row>
    <row r="9" spans="1:14" s="20" customFormat="1">
      <c r="A9" s="16" t="s">
        <v>57</v>
      </c>
      <c r="B9" s="17" t="s">
        <v>58</v>
      </c>
      <c r="C9" s="16" t="s">
        <v>59</v>
      </c>
      <c r="D9" s="18">
        <v>10000</v>
      </c>
      <c r="E9" s="18">
        <v>0</v>
      </c>
      <c r="F9" s="37">
        <f>IFERROR(SUMIF(レシピマスタ!$C:$C,A9,レシピマスタ!$J:$J),0)</f>
        <v>8000</v>
      </c>
      <c r="G9" s="38">
        <f>F9*設定!$B$6</f>
        <v>4000</v>
      </c>
      <c r="H9" s="38">
        <f t="shared" si="0"/>
        <v>12000</v>
      </c>
      <c r="I9" s="38">
        <f t="shared" si="1"/>
        <v>2000</v>
      </c>
      <c r="J9" s="18">
        <v>2000</v>
      </c>
      <c r="K9" s="19">
        <f t="shared" si="2"/>
        <v>2000</v>
      </c>
      <c r="L9" s="16" t="str">
        <f t="shared" si="3"/>
        <v>発注</v>
      </c>
      <c r="M9" s="17" t="s">
        <v>83</v>
      </c>
      <c r="N9" s="17"/>
    </row>
    <row r="10" spans="1:14">
      <c r="A10" s="7" t="s">
        <v>60</v>
      </c>
      <c r="B10" s="8" t="s">
        <v>61</v>
      </c>
      <c r="C10" s="7" t="s">
        <v>50</v>
      </c>
      <c r="D10" s="14">
        <v>4000</v>
      </c>
      <c r="E10" s="14">
        <v>0</v>
      </c>
      <c r="F10" s="35">
        <f>IFERROR(SUMIF(レシピマスタ!$C:$C,A10,レシピマスタ!$J:$J),0)</f>
        <v>2640</v>
      </c>
      <c r="G10" s="36">
        <f>F10*設定!$B$6</f>
        <v>1320</v>
      </c>
      <c r="H10" s="36">
        <f t="shared" si="0"/>
        <v>3960</v>
      </c>
      <c r="I10" s="36">
        <f t="shared" si="1"/>
        <v>0</v>
      </c>
      <c r="J10" s="14">
        <v>500</v>
      </c>
      <c r="K10" s="15">
        <f t="shared" si="2"/>
        <v>0</v>
      </c>
      <c r="L10" s="7" t="str">
        <f t="shared" si="3"/>
        <v>不要</v>
      </c>
      <c r="M10" s="8" t="s">
        <v>85</v>
      </c>
      <c r="N10" s="8"/>
    </row>
    <row r="11" spans="1:14" s="20" customFormat="1">
      <c r="A11" s="16" t="s">
        <v>62</v>
      </c>
      <c r="B11" s="17" t="s">
        <v>63</v>
      </c>
      <c r="C11" s="16" t="s">
        <v>50</v>
      </c>
      <c r="D11" s="18">
        <v>2000</v>
      </c>
      <c r="E11" s="18">
        <v>0</v>
      </c>
      <c r="F11" s="37">
        <f>IFERROR(SUMIF(レシピマスタ!$C:$C,A11,レシピマスタ!$J:$J),0)</f>
        <v>1680</v>
      </c>
      <c r="G11" s="38">
        <f>F11*設定!$B$6</f>
        <v>840</v>
      </c>
      <c r="H11" s="38">
        <f t="shared" si="0"/>
        <v>2520</v>
      </c>
      <c r="I11" s="38">
        <f t="shared" si="1"/>
        <v>520</v>
      </c>
      <c r="J11" s="18">
        <v>500</v>
      </c>
      <c r="K11" s="19">
        <f t="shared" si="2"/>
        <v>1000</v>
      </c>
      <c r="L11" s="16" t="str">
        <f t="shared" si="3"/>
        <v>発注</v>
      </c>
      <c r="M11" s="17" t="s">
        <v>85</v>
      </c>
      <c r="N11" s="17"/>
    </row>
    <row r="12" spans="1:14">
      <c r="A12" s="7" t="s">
        <v>65</v>
      </c>
      <c r="B12" s="8" t="s">
        <v>66</v>
      </c>
      <c r="C12" s="7" t="s">
        <v>50</v>
      </c>
      <c r="D12" s="14">
        <v>1500</v>
      </c>
      <c r="E12" s="14">
        <v>0</v>
      </c>
      <c r="F12" s="35">
        <f>IFERROR(SUMIF(レシピマスタ!$C:$C,A12,レシピマスタ!$J:$J),0)</f>
        <v>840</v>
      </c>
      <c r="G12" s="36">
        <f>F12*設定!$B$6</f>
        <v>420</v>
      </c>
      <c r="H12" s="36">
        <f t="shared" si="0"/>
        <v>1260</v>
      </c>
      <c r="I12" s="36">
        <f t="shared" si="1"/>
        <v>0</v>
      </c>
      <c r="J12" s="14">
        <v>500</v>
      </c>
      <c r="K12" s="15">
        <f t="shared" si="2"/>
        <v>0</v>
      </c>
      <c r="L12" s="7" t="str">
        <f t="shared" si="3"/>
        <v>不要</v>
      </c>
      <c r="M12" s="8" t="s">
        <v>85</v>
      </c>
      <c r="N12" s="8"/>
    </row>
    <row r="13" spans="1:14" s="20" customFormat="1">
      <c r="A13" s="16" t="s">
        <v>67</v>
      </c>
      <c r="B13" s="17" t="s">
        <v>68</v>
      </c>
      <c r="C13" s="16" t="s">
        <v>69</v>
      </c>
      <c r="D13" s="18">
        <v>60</v>
      </c>
      <c r="E13" s="18">
        <v>0</v>
      </c>
      <c r="F13" s="37">
        <f>IFERROR(SUMIF(レシピマスタ!$C:$C,A13,レシピマスタ!$J:$J),0)</f>
        <v>25</v>
      </c>
      <c r="G13" s="38">
        <f>F13*設定!$B$6</f>
        <v>12.5</v>
      </c>
      <c r="H13" s="38">
        <f t="shared" si="0"/>
        <v>37.5</v>
      </c>
      <c r="I13" s="38">
        <f t="shared" si="1"/>
        <v>0</v>
      </c>
      <c r="J13" s="18">
        <v>10</v>
      </c>
      <c r="K13" s="19">
        <f t="shared" si="2"/>
        <v>0</v>
      </c>
      <c r="L13" s="16" t="str">
        <f t="shared" si="3"/>
        <v>不要</v>
      </c>
      <c r="M13" s="17" t="s">
        <v>83</v>
      </c>
      <c r="N13" s="17"/>
    </row>
    <row r="14" spans="1:14">
      <c r="A14" s="7" t="s">
        <v>70</v>
      </c>
      <c r="B14" s="8" t="s">
        <v>71</v>
      </c>
      <c r="C14" s="7" t="s">
        <v>59</v>
      </c>
      <c r="D14" s="14">
        <v>500</v>
      </c>
      <c r="E14" s="14">
        <v>0</v>
      </c>
      <c r="F14" s="35">
        <f>IFERROR(SUMIF(レシピマスタ!$C:$C,A14,レシピマスタ!$J:$J),0)</f>
        <v>125</v>
      </c>
      <c r="G14" s="36">
        <f>F14*設定!$B$6</f>
        <v>62.5</v>
      </c>
      <c r="H14" s="36">
        <f t="shared" si="0"/>
        <v>187.5</v>
      </c>
      <c r="I14" s="36">
        <f t="shared" si="1"/>
        <v>0</v>
      </c>
      <c r="J14" s="14">
        <v>100</v>
      </c>
      <c r="K14" s="15">
        <f t="shared" si="2"/>
        <v>0</v>
      </c>
      <c r="L14" s="7" t="str">
        <f t="shared" si="3"/>
        <v>不要</v>
      </c>
      <c r="M14" s="8" t="s">
        <v>86</v>
      </c>
      <c r="N14" s="8"/>
    </row>
  </sheetData>
  <mergeCells count="1">
    <mergeCell ref="A1:F1"/>
  </mergeCells>
  <phoneticPr fontId="1"/>
  <conditionalFormatting sqref="L6:L14">
    <cfRule type="containsText" dxfId="3" priority="1" operator="containsText" text="発注">
      <formula>NOT(ISERROR(SEARCH("発注",L6)))</formula>
    </cfRule>
    <cfRule type="containsText" dxfId="2" priority="2" operator="containsText" text="不要">
      <formula>NOT(ISERROR(SEARCH("不要",L6)))</formula>
    </cfRule>
    <cfRule type="containsText" dxfId="1" priority="3" operator="containsText" text="発注">
      <formula>NOT(ISERROR(SEARCH("発注",L6)))</formula>
    </cfRule>
    <cfRule type="containsText" dxfId="0" priority="4" operator="containsText" text="不要">
      <formula>NOT(ISERROR(SEARCH("不要",L6)))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設定</vt:lpstr>
      <vt:lpstr>商品マスタ</vt:lpstr>
      <vt:lpstr>レシピマスタ</vt:lpstr>
      <vt:lpstr>売上予測</vt:lpstr>
      <vt:lpstr>在庫発注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OhashiShintaro</dc:creator>
  <cp:lastModifiedBy>OhashiShintaro</cp:lastModifiedBy>
  <dcterms:created xsi:type="dcterms:W3CDTF">2026-03-10T04:50:44Z</dcterms:created>
  <dcterms:modified xsi:type="dcterms:W3CDTF">2026-03-10T07:42:19Z</dcterms:modified>
</cp:coreProperties>
</file>